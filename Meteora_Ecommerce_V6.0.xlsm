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Projects\Data_Meteora\"/>
    </mc:Choice>
  </mc:AlternateContent>
  <xr:revisionPtr revIDLastSave="0" documentId="13_ncr:1_{0A61C750-AC84-4134-ACB0-ACAF0BC6B1E9}" xr6:coauthVersionLast="47" xr6:coauthVersionMax="47" xr10:uidLastSave="{00000000-0000-0000-0000-000000000000}"/>
  <bookViews>
    <workbookView xWindow="-120" yWindow="-120" windowWidth="29040" windowHeight="15720" tabRatio="698" activeTab="12" xr2:uid="{F6D97A53-F63B-4272-A181-44B26E0B790F}"/>
  </bookViews>
  <sheets>
    <sheet name="Menu" sheetId="25" r:id="rId1"/>
    <sheet name="Produtos" sheetId="17" r:id="rId2"/>
    <sheet name="Vendedores" sheetId="28" r:id="rId3"/>
    <sheet name="Vendas" sheetId="16" r:id="rId4"/>
    <sheet name="Vendas histórico" sheetId="41" r:id="rId5"/>
    <sheet name="Consultas" sheetId="24" state="hidden" r:id="rId6"/>
    <sheet name="DN_Produtos" sheetId="35" state="hidden" r:id="rId7"/>
    <sheet name="DN_Vendas" sheetId="37" state="hidden" r:id="rId8"/>
    <sheet name="Cadastros Auxiliares" sheetId="23" state="hidden" r:id="rId9"/>
    <sheet name="DN_Vendedores" sheetId="39" state="hidden" r:id="rId10"/>
    <sheet name="Dashboard" sheetId="18" r:id="rId11"/>
    <sheet name="DN_Desafio Vendas_Hist" sheetId="42" r:id="rId12"/>
    <sheet name="Dashboard Histórico" sheetId="40" r:id="rId13"/>
  </sheets>
  <definedNames>
    <definedName name="_xlnm._FilterDatabase" localSheetId="3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DadosExternos_1" localSheetId="4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178" r:id="rId14"/>
    <pivotCache cacheId="181" r:id="rId15"/>
    <pivotCache cacheId="184" r:id="rId16"/>
    <pivotCache cacheId="188" r:id="rId17"/>
    <pivotCache cacheId="191" r:id="rId18"/>
    <pivotCache cacheId="194" r:id="rId19"/>
    <pivotCache cacheId="199" r:id="rId20"/>
  </pivotCaches>
  <extLst>
    <ext xmlns:x14="http://schemas.microsoft.com/office/spreadsheetml/2009/9/main" uri="{876F7934-8845-4945-9796-88D515C7AA90}">
      <x14:pivotCaches>
        <pivotCache cacheId="187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J6" i="37"/>
  <c r="BK4" i="18"/>
  <c r="K4" i="37"/>
  <c r="K5" i="37"/>
  <c r="J5" i="37"/>
  <c r="AQ4" i="18"/>
  <c r="J4" i="37"/>
  <c r="K6" i="37"/>
  <c r="M4" i="42"/>
  <c r="M6" i="42"/>
  <c r="N5" i="42"/>
  <c r="N6" i="42"/>
  <c r="M5" i="42"/>
  <c r="N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05B26475-BDAF-4980-BAC2-C72C34F240AB}" keepAlive="1" name="Consulta - Vendas (2)" description="Conexão com a consulta 'Vendas (2)' na pasta de trabalho." type="5" refreshedVersion="8" background="1" saveData="1">
    <dbPr connection="Provider=Microsoft.Mashup.OleDb.1;Data Source=$Workbook$;Location=&quot;Vendas (2)&quot;;Extended Properties=&quot;&quot;" command="SELECT * FROM [Vendas (2)]"/>
  </connection>
  <connection id="3" xr16:uid="{A2554D6A-4395-410E-8AC5-554DBF546DD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D3BE0A65-8854-4804-B6A6-EFD836007206}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5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6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7" xr16:uid="{E680CFC7-5590-43CD-9CC3-C3E9A06CDB40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<sst xmlns="http://schemas.openxmlformats.org/spreadsheetml/2006/main" count="1320" uniqueCount="184">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</sst>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8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1"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8.xml"/><Relationship Id="rId21" Type="http://schemas.openxmlformats.org/officeDocument/2006/relationships/pivotCacheDefinition" Target="pivotCache/pivotCacheDefinition8.xml"/><Relationship Id="rId34" Type="http://schemas.openxmlformats.org/officeDocument/2006/relationships/customXml" Target="../customXml/item3.xml"/><Relationship Id="rId42" Type="http://schemas.openxmlformats.org/officeDocument/2006/relationships/customXml" Target="../customXml/item11.xml"/><Relationship Id="rId47" Type="http://schemas.openxmlformats.org/officeDocument/2006/relationships/customXml" Target="../customXml/item16.xml"/><Relationship Id="rId50" Type="http://schemas.openxmlformats.org/officeDocument/2006/relationships/customXml" Target="../customXml/item19.xml"/><Relationship Id="rId55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sheetMetadata" Target="metadata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customXml" Target="../customXml/item1.xml"/><Relationship Id="rId37" Type="http://schemas.openxmlformats.org/officeDocument/2006/relationships/customXml" Target="../customXml/item6.xml"/><Relationship Id="rId40" Type="http://schemas.openxmlformats.org/officeDocument/2006/relationships/customXml" Target="../customXml/item9.xml"/><Relationship Id="rId45" Type="http://schemas.openxmlformats.org/officeDocument/2006/relationships/customXml" Target="../customXml/item14.xml"/><Relationship Id="rId53" Type="http://schemas.openxmlformats.org/officeDocument/2006/relationships/customXml" Target="../customXml/item22.xml"/><Relationship Id="rId58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43" Type="http://schemas.openxmlformats.org/officeDocument/2006/relationships/customXml" Target="../customXml/item12.xml"/><Relationship Id="rId48" Type="http://schemas.openxmlformats.org/officeDocument/2006/relationships/customXml" Target="../customXml/item17.xml"/><Relationship Id="rId56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theme" Target="theme/theme1.xml"/><Relationship Id="rId33" Type="http://schemas.openxmlformats.org/officeDocument/2006/relationships/customXml" Target="../customXml/item2.xml"/><Relationship Id="rId38" Type="http://schemas.openxmlformats.org/officeDocument/2006/relationships/customXml" Target="../customXml/item7.xml"/><Relationship Id="rId46" Type="http://schemas.openxmlformats.org/officeDocument/2006/relationships/customXml" Target="../customXml/item15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7.xml"/><Relationship Id="rId41" Type="http://schemas.openxmlformats.org/officeDocument/2006/relationships/customXml" Target="../customXml/item10.xml"/><Relationship Id="rId54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5.xml"/><Relationship Id="rId49" Type="http://schemas.openxmlformats.org/officeDocument/2006/relationships/customXml" Target="../customXml/item18.xml"/><Relationship Id="rId57" Type="http://schemas.openxmlformats.org/officeDocument/2006/relationships/customXml" Target="../customXml/item26.xml"/><Relationship Id="rId10" Type="http://schemas.openxmlformats.org/officeDocument/2006/relationships/worksheet" Target="worksheets/sheet10.xml"/><Relationship Id="rId31" Type="http://schemas.openxmlformats.org/officeDocument/2006/relationships/calcChain" Target="calcChain.xml"/><Relationship Id="rId44" Type="http://schemas.openxmlformats.org/officeDocument/2006/relationships/customXml" Target="../customXml/item13.xml"/><Relationship Id="rId52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8B3096F1-0C3D-DBCC-2744-8B036B5C9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D1C6A12-5F59-E575-3EE8-D2DBB7A6C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135EDE1-0FB3-2E2B-3908-26C8962A5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D65E5787-0405-2EF3-91FB-E7EDE974E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3DBF9D58-C1AF-EBD9-9D4F-456040DC3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D3F9AFD2-D485-5D66-C67F-5237CFB10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C35094F3-251F-4C1A-BE4F-A1AC52798358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FFCB35C7-B7C4-4216-9E77-5042322C87D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FD3A62CA-6EC9-46DC-A04C-0F9BC008226D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F1E5371-819C-4A8F-821F-EED1F859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606CC595-23D9-AA39-5E30-FEF9691C3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1C8E1D4F-E7D3-9417-21C9-19BA60945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55C8C2F2-EAD0-4D49-85BA-73D8CC9BE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2E04E5E5-0638-411E-A67C-B2E60EF970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A17060AB-F2CE-B793-A6B6-80CB9E621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26DC38C2-3815-84C2-0735-F2516A4CE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75B6E8F8-D838-65E3-3763-C02736F9C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EDEE87F4-27C9-4CB7-8C2D-4D4D54EBE19E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772F6B85-AB6E-449A-5325-A2D6E4E4D4D7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8D38B9D9-E5D9-2A19-0334-8736E6480AE6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57150</xdr:colOff>
          <xdr:row>2</xdr:row>
          <xdr:rowOff>19050</xdr:rowOff>
        </xdr:from>
        <xdr:to>
          <xdr:col>97</xdr:col>
          <xdr:colOff>66675</xdr:colOff>
          <xdr:row>9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Consulta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66675</xdr:colOff>
          <xdr:row>10</xdr:row>
          <xdr:rowOff>76200</xdr:rowOff>
        </xdr:from>
        <xdr:to>
          <xdr:col>97</xdr:col>
          <xdr:colOff>76200</xdr:colOff>
          <xdr:row>17</xdr:row>
          <xdr:rowOff>66675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5E1F9AB-2F7A-6E36-1C26-58A32DB85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Tudo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39120371" backgroundQuery="1" createdVersion="8" refreshedVersion="8" minRefreshableVersion="3" recordCount="0" supportSubquery="1" supportAdvancedDrill="1" xr:uid="{43500E51-CEBE-48B0-881F-FF3439F00E5D}">
  <cacheSource type="external" connectionId="3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027778" backgroundQuery="1" createdVersion="8" refreshedVersion="8" minRefreshableVersion="3" recordCount="0" supportSubquery="1" supportAdvancedDrill="1" xr:uid="{B695F69F-2F1C-453F-91B3-5A1150E2C639}">
  <cacheSource type="external" connectionId="3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1203704" backgroundQuery="1" createdVersion="8" refreshedVersion="8" minRefreshableVersion="3" recordCount="0" supportSubquery="1" supportAdvancedDrill="1" xr:uid="{0E9C5593-B01E-4C8F-AFAD-4007B27D76B7}">
  <cacheSource type="external" connectionId="3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2939813" backgroundQuery="1" createdVersion="8" refreshedVersion="8" minRefreshableVersion="3" recordCount="0" supportSubquery="1" supportAdvancedDrill="1" xr:uid="{23BCA363-7CED-4773-ADD8-92D5AB426B1D}">
  <cacheSource type="external" connectionId="3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Ano)].[Data (Ano)]" caption="Data (Ano)" numFmtId="0" hierarchy="32" level="1">
      <sharedItems containsSemiMixedTypes="0" containsNonDate="0" containsString="0"/>
    </cacheField>
    <cacheField name="[TB_Vendas_Hist].[Data (Mês)].[Data (Mês)]" caption="Data (Mês)" numFmtId="0" hierarchy="34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3865744" createdVersion="5" refreshedVersion="8" minRefreshableVersion="3" recordCount="0" supportSubquery="1" supportAdvancedDrill="1" xr:uid="{9AEFBECE-26A2-486F-9573-9C3E7488B6DD}">
  <cacheSource type="external" connectionId="3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4791668" backgroundQuery="1" createdVersion="8" refreshedVersion="8" minRefreshableVersion="3" recordCount="0" supportSubquery="1" supportAdvancedDrill="1" xr:uid="{EADC4531-0F0B-4302-9DDC-637E2264183C}">
  <cacheSource type="external" connectionId="3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Rodrigues" refreshedDate="45870.486246643515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1782404" backgroundQuery="1" createdVersion="3" refreshedVersion="8" minRefreshableVersion="3" recordCount="0" supportSubquery="1" supportAdvancedDrill="1" xr:uid="{DD12CA9A-A5B5-4B47-83F7-EB3AC697555A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62772009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19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7">
      <pivotArea collapsedLevelsAreSubtotals="1" fieldPosition="0">
        <references count="1">
          <reference field="3" count="0"/>
        </references>
      </pivotArea>
    </format>
    <format dxfId="6">
      <pivotArea dataOnly="0" labelOnly="1" fieldPosition="0">
        <references count="1">
          <reference field="3" count="0"/>
        </references>
      </pivotArea>
    </format>
    <format dxfId="5">
      <pivotArea outline="0" fieldPosition="0">
        <references count="1">
          <reference field="4294967294" count="1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1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81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184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178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188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194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191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1462772009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1462772009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0">
  <autoFilter ref="B6:G66" xr:uid="{40AC111B-A369-4C0B-9503-7C5B9442DA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8ED5FF-48A1-488E-9DF1-FE060F71A415}" name="Código" dataDxfId="29"/>
    <tableColumn id="2" xr3:uid="{E100D4E2-C3A0-43FF-A1D9-90A4BC2A9918}" name="Produtos"/>
    <tableColumn id="3" xr3:uid="{2EF7FEE0-6B6F-4534-86A0-46B6555B7BEF}" name="Tamanho" dataDxfId="28"/>
    <tableColumn id="4" xr3:uid="{4435A4B8-E7F0-4D66-A4F8-6A9FEAA36D5A}" name="Categoria"/>
    <tableColumn id="6" xr3:uid="{15F9CACC-A558-4A20-80CF-C2ADA2603221}" name="Estoque" dataDxfId="27"/>
    <tableColumn id="5" xr3:uid="{CA8AD0DE-58EC-4839-85FB-1DD75DA28087}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5" dataDxfId="24" headerRowCellStyle="Cabeçalho Meteora">
  <autoFilter ref="A4:M86" xr:uid="{AD739091-30BD-4C30-BDDA-7504C0C4B6E2}"/>
  <tableColumns count="13">
    <tableColumn id="7" xr3:uid="{5E8DE7C3-CDB6-4314-A5CC-C44D3C21973F}" name="Nº" dataDxfId="23">
      <calculatedColumnFormula>MONTH(TB_Vendas[[#This Row],[Data]])</calculatedColumnFormula>
    </tableColumn>
    <tableColumn id="1" xr3:uid="{43632F1F-6978-4CE7-BB13-7CCE587D6821}" name="Data" dataDxfId="22"/>
    <tableColumn id="12" xr3:uid="{205A55AB-454E-4288-AE23-042C3C399E7A}" name="Código" dataDxfId="21"/>
    <tableColumn id="16" xr3:uid="{059789B1-50A2-47F3-849D-D1EE26B94731}" name="Categoria" dataDxfId="20">
      <calculatedColumnFormula>_xlfn.XLOOKUP(TB_Vendas[[#This Row],[Código]],TB_Produtos[Código],TB_Produtos[Categoria])</calculatedColumnFormula>
    </tableColumn>
    <tableColumn id="5" xr3:uid="{7DC2ADED-AF8A-4BC8-A38E-FEF676FE49C9}" name="Qtd" dataDxfId="19"/>
    <tableColumn id="9" xr3:uid="{05B7315B-2774-41BC-AFEC-4A19E452D6C7}" name="Preço Unitário" dataDxfId="18">
      <calculatedColumnFormula>VLOOKUP(TB_Vendas[[#This Row],[Código]],Produtos!$B$6:$G$66,6,0)</calculatedColumnFormula>
    </tableColumn>
    <tableColumn id="18" xr3:uid="{152BED38-8D5F-4FAA-8C38-58740E2353E5}" name="Indice" dataDxfId="17">
      <calculatedColumnFormula>_xlfn.XMATCH(TB_Vendas[[#This Row],[Categoria]],Desc_Categorias,0)</calculatedColumnFormula>
    </tableColumn>
    <tableColumn id="17" xr3:uid="{C4E78734-94D7-4D31-B07D-5609B855AC0F}" name="Desconto _x000a_(Passo a Passo)" dataDxfId="16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5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4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3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2">
      <calculatedColumnFormula>TB_Vendas[[#This Row],[Preço Unitário]]*TB_Vendas[[#This Row],[Qtd]]</calculatedColumnFormula>
    </tableColumn>
    <tableColumn id="8" xr3:uid="{192FEBCA-1287-48A6-9BE6-69528F71C305}" name="Vendedor" dataDxfId="1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0"/>
    <tableColumn id="2" xr3:uid="{8AEDD25B-97D5-4F29-9E05-99E0F581FFD0}" uniqueName="2" name="Código" queryTableFieldId="2" dataDxfId="10"/>
    <tableColumn id="3" xr3:uid="{709E2B07-FCC3-4092-AFD5-DD4C42111BA7}" uniqueName="3" name="Categoria" queryTableFieldId="3" dataDxfId="9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9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activeCell="E15" sqref="E15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2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</row>
    <row r="4" spans="1:12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</row>
    <row r="5" spans="1:12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1:12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2" activePane="bottomLeft" state="frozen"/>
      <selection pane="bottomLeft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6" t="s">
        <v>82</v>
      </c>
      <c r="C1" s="76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64" activePane="bottomLeft" state="frozen"/>
      <selection activeCell="B1" sqref="B1"/>
      <selection pane="bottomLeft" activeCell="I84" sqref="I84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1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130" zoomScaleNormal="130" workbookViewId="0">
      <selection activeCell="G7" sqref="G7"/>
    </sheetView>
  </sheetViews>
  <sheetFormatPr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77" t="s">
        <v>140</v>
      </c>
      <c r="C4" s="77"/>
      <c r="D4" s="15"/>
      <c r="E4" s="77" t="s">
        <v>147</v>
      </c>
      <c r="F4" s="77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112">
        <v>1482</v>
      </c>
      <c r="C4" s="66">
        <v>5298.699999999998</v>
      </c>
      <c r="E4" s="64" t="s">
        <v>12</v>
      </c>
      <c r="F4" s="111">
        <v>45</v>
      </c>
    </row>
    <row r="5" spans="1:6" ht="15.75">
      <c r="A5" s="65" t="s">
        <v>13</v>
      </c>
      <c r="B5" s="112">
        <v>159</v>
      </c>
      <c r="C5" s="66">
        <v>964.59999999999991</v>
      </c>
      <c r="E5" s="64" t="s">
        <v>13</v>
      </c>
      <c r="F5" s="111">
        <v>6</v>
      </c>
    </row>
    <row r="6" spans="1:6" ht="15.75">
      <c r="A6" s="65" t="s">
        <v>14</v>
      </c>
      <c r="B6" s="112">
        <v>350</v>
      </c>
      <c r="C6" s="66">
        <v>1789.4</v>
      </c>
      <c r="E6" s="64" t="s">
        <v>14</v>
      </c>
      <c r="F6" s="111">
        <v>9</v>
      </c>
    </row>
    <row r="7" spans="1:6">
      <c r="A7" s="64" t="s">
        <v>161</v>
      </c>
      <c r="B7" s="113">
        <v>1991</v>
      </c>
      <c r="C7" s="2">
        <v>8052.6999999999971</v>
      </c>
      <c r="E7" s="64" t="s">
        <v>161</v>
      </c>
      <c r="F7" s="111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111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111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111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111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111">
        <v>17</v>
      </c>
    </row>
    <row r="9" spans="1:11">
      <c r="A9" s="64" t="s">
        <v>171</v>
      </c>
      <c r="B9" s="2">
        <v>3477.7000000000007</v>
      </c>
      <c r="C9" s="111">
        <v>41</v>
      </c>
    </row>
    <row r="10" spans="1:11">
      <c r="A10" s="64" t="s">
        <v>172</v>
      </c>
      <c r="B10" s="2">
        <v>8602.0999999999985</v>
      </c>
      <c r="C10" s="111">
        <v>53</v>
      </c>
    </row>
    <row r="11" spans="1:11">
      <c r="A11" s="64" t="s">
        <v>173</v>
      </c>
      <c r="B11" s="2">
        <v>6373.7</v>
      </c>
      <c r="C11" s="111">
        <v>56</v>
      </c>
    </row>
    <row r="12" spans="1:11">
      <c r="A12" s="64" t="s">
        <v>161</v>
      </c>
      <c r="B12" s="2">
        <v>33304.799999999988</v>
      </c>
      <c r="C12" s="111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78" t="s">
        <v>76</v>
      </c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80"/>
      <c r="AQ2" s="78" t="s">
        <v>77</v>
      </c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80"/>
      <c r="BK2" s="78" t="s">
        <v>78</v>
      </c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80"/>
    </row>
    <row r="3" spans="3:80" ht="9.75" customHeight="1" thickBot="1">
      <c r="W3" s="81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3"/>
      <c r="AQ3" s="81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3"/>
      <c r="BK3" s="81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3"/>
    </row>
    <row r="4" spans="3:80" ht="9.75" customHeight="1">
      <c r="W4" s="93">
        <f>GETPIVOTDATA("Produtos",DN_Produtos!$E$3)</f>
        <v>60</v>
      </c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5"/>
      <c r="AQ4" s="93">
        <f>GETPIVOTDATA("[Measures].[Soma de Qtd]",DN_Vendas!$A$3)</f>
        <v>250</v>
      </c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5"/>
      <c r="BK4" s="102">
        <f>GETPIVOTDATA("[Measures].[Soma de Total]",DN_Vendas!$A$3)</f>
        <v>33304.799999999988</v>
      </c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3"/>
      <c r="BX4" s="103"/>
      <c r="BY4" s="103"/>
      <c r="BZ4" s="103"/>
      <c r="CA4" s="103"/>
      <c r="CB4" s="104"/>
    </row>
    <row r="5" spans="3:80" ht="9.75" customHeight="1">
      <c r="W5" s="96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8"/>
      <c r="AQ5" s="96"/>
      <c r="AR5" s="97"/>
      <c r="AS5" s="97"/>
      <c r="AT5" s="97"/>
      <c r="AU5" s="97"/>
      <c r="AV5" s="97"/>
      <c r="AW5" s="97"/>
      <c r="AX5" s="97"/>
      <c r="AY5" s="97"/>
      <c r="AZ5" s="97"/>
      <c r="BA5" s="97"/>
      <c r="BB5" s="97"/>
      <c r="BC5" s="97"/>
      <c r="BD5" s="97"/>
      <c r="BE5" s="97"/>
      <c r="BF5" s="97"/>
      <c r="BG5" s="97"/>
      <c r="BH5" s="98"/>
      <c r="BK5" s="105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7"/>
    </row>
    <row r="6" spans="3:80" ht="9.75" customHeight="1">
      <c r="W6" s="96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8"/>
      <c r="AQ6" s="96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97"/>
      <c r="BG6" s="97"/>
      <c r="BH6" s="98"/>
      <c r="BK6" s="105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7"/>
    </row>
    <row r="7" spans="3:80" ht="9.75" customHeight="1" thickBot="1">
      <c r="W7" s="99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1"/>
      <c r="AQ7" s="99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1"/>
      <c r="BK7" s="108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1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84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6"/>
    </row>
    <row r="12" spans="3:80" ht="9.75" customHeight="1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9"/>
    </row>
    <row r="13" spans="3:80" ht="9.75" customHeight="1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</row>
    <row r="14" spans="3:80" ht="9.75" customHeight="1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9"/>
    </row>
    <row r="15" spans="3:80" ht="9.75" customHeight="1">
      <c r="C15" s="87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</row>
    <row r="16" spans="3:80" ht="9.75" customHeight="1"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9"/>
    </row>
    <row r="17" spans="3:80" ht="9.75" customHeight="1">
      <c r="C17" s="87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9"/>
    </row>
    <row r="18" spans="3:80" ht="9.75" customHeight="1"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9"/>
    </row>
    <row r="19" spans="3:80" ht="9.75" customHeight="1">
      <c r="C19" s="87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9"/>
    </row>
    <row r="20" spans="3:80" ht="9.75" customHeight="1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9"/>
    </row>
    <row r="21" spans="3:80" ht="9.75" customHeight="1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9"/>
    </row>
    <row r="22" spans="3:80" ht="9.75" customHeight="1">
      <c r="C22" s="87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9"/>
    </row>
    <row r="23" spans="3:80" ht="9.75" customHeight="1"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9"/>
    </row>
    <row r="24" spans="3:80" ht="9.75" customHeight="1" thickBot="1">
      <c r="C24" s="90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2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8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6"/>
      <c r="AQ28" s="84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6"/>
    </row>
    <row r="29" spans="3:80" ht="9.75" customHeight="1">
      <c r="C29" s="8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9"/>
      <c r="AQ29" s="87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9"/>
    </row>
    <row r="30" spans="3:80" ht="9.75" customHeight="1">
      <c r="C30" s="8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9"/>
      <c r="AQ30" s="87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9"/>
    </row>
    <row r="31" spans="3:80" ht="9.75" customHeight="1">
      <c r="C31" s="8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9"/>
      <c r="AQ31" s="87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9"/>
    </row>
    <row r="32" spans="3:80" ht="9.75" customHeight="1">
      <c r="C32" s="87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Q32" s="87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9"/>
    </row>
    <row r="33" spans="3:80" ht="9.75" customHeight="1">
      <c r="C33" s="87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9"/>
      <c r="AQ33" s="87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9"/>
    </row>
    <row r="34" spans="3:80" ht="9.75" customHeight="1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9"/>
      <c r="AQ34" s="87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9"/>
    </row>
    <row r="35" spans="3:80" ht="9.75" customHeight="1">
      <c r="C35" s="87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Q35" s="87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9"/>
    </row>
    <row r="36" spans="3:80" ht="9.75" customHeight="1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9"/>
      <c r="AQ36" s="87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9"/>
    </row>
    <row r="37" spans="3:80" ht="9.75" customHeight="1">
      <c r="C37" s="87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9"/>
      <c r="AQ37" s="87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9"/>
    </row>
    <row r="38" spans="3:80" ht="9.75" customHeight="1"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9"/>
      <c r="AQ38" s="87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9"/>
    </row>
    <row r="39" spans="3:80" ht="9.75" customHeight="1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9"/>
      <c r="AQ39" s="87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9"/>
    </row>
    <row r="40" spans="3:80" ht="9.75" customHeight="1">
      <c r="C40" s="87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9"/>
      <c r="AQ40" s="87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9"/>
    </row>
    <row r="41" spans="3:80" ht="9.75" customHeight="1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9"/>
      <c r="AQ41" s="87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9"/>
    </row>
    <row r="42" spans="3:80" ht="9.75" customHeight="1">
      <c r="C42" s="87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9"/>
      <c r="AQ42" s="87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9"/>
    </row>
    <row r="43" spans="3:80" ht="9.75" customHeight="1">
      <c r="C43" s="87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9"/>
      <c r="AQ43" s="87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9"/>
    </row>
    <row r="44" spans="3:80" ht="9.75" customHeight="1">
      <c r="C44" s="87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9"/>
      <c r="AQ44" s="87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9"/>
    </row>
    <row r="45" spans="3:80" ht="9.75" customHeight="1">
      <c r="C45" s="87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9"/>
      <c r="AQ45" s="87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9"/>
    </row>
    <row r="46" spans="3:80" ht="9.75" customHeight="1" thickBot="1">
      <c r="C46" s="90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2"/>
      <c r="AQ46" s="90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2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H4" sqref="H4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111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111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111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111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111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111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111">
        <v>133</v>
      </c>
    </row>
    <row r="11" spans="1:14">
      <c r="A11" s="64" t="s">
        <v>173</v>
      </c>
      <c r="B11" s="8">
        <v>21585.8</v>
      </c>
      <c r="C11" s="111">
        <v>147</v>
      </c>
    </row>
    <row r="12" spans="1:14">
      <c r="A12" s="64" t="s">
        <v>177</v>
      </c>
      <c r="B12" s="8">
        <v>19851</v>
      </c>
      <c r="C12" s="111">
        <v>151</v>
      </c>
    </row>
    <row r="13" spans="1:14">
      <c r="A13" s="64" t="s">
        <v>178</v>
      </c>
      <c r="B13" s="8">
        <v>15659.4</v>
      </c>
      <c r="C13" s="111">
        <v>151</v>
      </c>
    </row>
    <row r="14" spans="1:14">
      <c r="A14" s="64" t="s">
        <v>179</v>
      </c>
      <c r="B14" s="8">
        <v>9455.2000000000007</v>
      </c>
      <c r="C14" s="111">
        <v>92</v>
      </c>
    </row>
    <row r="15" spans="1:14">
      <c r="A15" s="64" t="s">
        <v>180</v>
      </c>
      <c r="B15" s="8">
        <v>19742.5</v>
      </c>
      <c r="C15" s="111">
        <v>129</v>
      </c>
    </row>
    <row r="16" spans="1:14">
      <c r="A16" s="64" t="s">
        <v>161</v>
      </c>
      <c r="B16" s="8">
        <v>207441.1</v>
      </c>
      <c r="C16" s="111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tabSelected="1" zoomScaleNormal="100" workbookViewId="0">
      <selection activeCell="CM27" sqref="CM27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84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6"/>
    </row>
    <row r="12" spans="3:80" ht="9.75" customHeight="1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9"/>
    </row>
    <row r="13" spans="3:80" ht="9.75" customHeight="1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</row>
    <row r="14" spans="3:80" ht="9.75" customHeight="1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9"/>
    </row>
    <row r="15" spans="3:80" ht="9.75" customHeight="1">
      <c r="C15" s="87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</row>
    <row r="16" spans="3:80" ht="9.75" customHeight="1"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9"/>
    </row>
    <row r="17" spans="3:80" ht="9.75" customHeight="1">
      <c r="C17" s="87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9"/>
    </row>
    <row r="18" spans="3:80" ht="9.75" customHeight="1"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9"/>
    </row>
    <row r="19" spans="3:80" ht="9.75" customHeight="1">
      <c r="C19" s="87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9"/>
    </row>
    <row r="20" spans="3:80" ht="9.75" customHeight="1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9"/>
    </row>
    <row r="21" spans="3:80" ht="9.75" customHeight="1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9"/>
    </row>
    <row r="22" spans="3:80" ht="9.75" customHeight="1">
      <c r="C22" s="87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9"/>
    </row>
    <row r="23" spans="3:80" ht="9.75" customHeight="1"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9"/>
    </row>
    <row r="24" spans="3:80" ht="9.75" customHeight="1" thickBot="1">
      <c r="C24" s="90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2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8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6"/>
      <c r="AQ28" s="84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6"/>
    </row>
    <row r="29" spans="3:80" ht="9.75" customHeight="1">
      <c r="C29" s="8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9"/>
      <c r="AQ29" s="87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9"/>
    </row>
    <row r="30" spans="3:80" ht="9.75" customHeight="1">
      <c r="C30" s="8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9"/>
      <c r="AQ30" s="87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9"/>
    </row>
    <row r="31" spans="3:80" ht="9.75" customHeight="1">
      <c r="C31" s="8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9"/>
      <c r="AQ31" s="87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9"/>
    </row>
    <row r="32" spans="3:80" ht="9.75" customHeight="1">
      <c r="C32" s="87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Q32" s="87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9"/>
    </row>
    <row r="33" spans="3:80" ht="9.75" customHeight="1">
      <c r="C33" s="87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9"/>
      <c r="AQ33" s="87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9"/>
    </row>
    <row r="34" spans="3:80" ht="9.75" customHeight="1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9"/>
      <c r="AQ34" s="87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9"/>
    </row>
    <row r="35" spans="3:80" ht="9.75" customHeight="1">
      <c r="C35" s="87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Q35" s="87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9"/>
    </row>
    <row r="36" spans="3:80" ht="9.75" customHeight="1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9"/>
      <c r="AQ36" s="87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9"/>
    </row>
    <row r="37" spans="3:80" ht="9.75" customHeight="1">
      <c r="C37" s="87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9"/>
      <c r="AQ37" s="87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9"/>
    </row>
    <row r="38" spans="3:80" ht="9.75" customHeight="1"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9"/>
      <c r="AQ38" s="87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9"/>
    </row>
    <row r="39" spans="3:80" ht="9.75" customHeight="1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9"/>
      <c r="AQ39" s="87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9"/>
    </row>
    <row r="40" spans="3:80" ht="9.75" customHeight="1">
      <c r="C40" s="87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9"/>
      <c r="AQ40" s="87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9"/>
    </row>
    <row r="41" spans="3:80" ht="9.75" customHeight="1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9"/>
      <c r="AQ41" s="87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9"/>
    </row>
    <row r="42" spans="3:80" ht="9.75" customHeight="1">
      <c r="C42" s="87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9"/>
      <c r="AQ42" s="87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9"/>
    </row>
    <row r="43" spans="3:80" ht="9.75" customHeight="1">
      <c r="C43" s="87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9"/>
      <c r="AQ43" s="87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9"/>
    </row>
    <row r="44" spans="3:80" ht="9.75" customHeight="1">
      <c r="C44" s="87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9"/>
      <c r="AQ44" s="87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9"/>
    </row>
    <row r="45" spans="3:80" ht="9.75" customHeight="1">
      <c r="C45" s="87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9"/>
      <c r="AQ45" s="87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9"/>
    </row>
    <row r="46" spans="3:80" ht="9.75" customHeight="1" thickBot="1">
      <c r="C46" s="90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2"/>
      <c r="AQ46" s="90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2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tualiza_Consulta_Hist">
                <anchor moveWithCells="1" sizeWithCells="1">
                  <from>
                    <xdr:col>81</xdr:col>
                    <xdr:colOff>57150</xdr:colOff>
                    <xdr:row>2</xdr:row>
                    <xdr:rowOff>19050</xdr:rowOff>
                  </from>
                  <to>
                    <xdr:col>97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tualizar_Tudo">
                <anchor moveWithCells="1" sizeWithCells="1">
                  <from>
                    <xdr:col>81</xdr:col>
                    <xdr:colOff>66675</xdr:colOff>
                    <xdr:row>10</xdr:row>
                    <xdr:rowOff>76200</xdr:rowOff>
                  </from>
                  <to>
                    <xdr:col>97</xdr:col>
                    <xdr:colOff>76200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1E4D3292-F388-451B-A834-DE9698E505D9}">
  <ds:schemaRefs/>
</ds:datastoreItem>
</file>

<file path=customXml/itemProps2.xml><?xml version="1.0" encoding="utf-8"?>
<ds:datastoreItem xmlns:ds="http://schemas.openxmlformats.org/officeDocument/2006/customXml" ds:itemID="{8467EB31-1629-4343-9314-56544F2D7367}">
  <ds:schemaRefs/>
</ds:datastoreItem>
</file>

<file path=customXml/itemProps3.xml><?xml version="1.0" encoding="utf-8"?>
<ds:datastoreItem xmlns:ds="http://schemas.openxmlformats.org/officeDocument/2006/customXml" ds:itemID="{0B4F83D8-0085-491D-B300-BE5F2F7731F5}">
  <ds:schemaRefs/>
</ds:datastoreItem>
</file>

<file path=customXml/itemProps4.xml><?xml version="1.0" encoding="utf-8"?>
<ds:datastoreItem xmlns:ds="http://schemas.openxmlformats.org/officeDocument/2006/customXml" ds:itemID="{6E87F8A6-5B3C-4ADE-98DB-48C175F0A2B0}">
  <ds:schemaRefs/>
</ds:datastoreItem>
</file>

<file path=customXml/itemProps5.xml><?xml version="1.0" encoding="utf-8"?>
<ds:datastoreItem xmlns:ds="http://schemas.openxmlformats.org/officeDocument/2006/customXml" ds:itemID="{25BB5A3F-E346-480A-A7E9-E0ECAAB7F5AC}">
  <ds:schemaRefs/>
</ds:datastoreItem>
</file>

<file path=customXml/itemProps6.xml><?xml version="1.0" encoding="utf-8"?>
<ds:datastoreItem xmlns:ds="http://schemas.openxmlformats.org/officeDocument/2006/customXml" ds:itemID="{03E72766-9FF3-4E59-B2A3-BC8336C63639}">
  <ds:schemaRefs/>
</ds:datastoreItem>
</file>

<file path=customXml/itemProps7.xml><?xml version="1.0" encoding="utf-8"?>
<ds:datastoreItem xmlns:ds="http://schemas.openxmlformats.org/officeDocument/2006/customXml" ds:itemID="{A7140D0F-5704-455C-AEE9-2AF1C88808B8}">
  <ds:schemaRefs/>
</ds:datastoreItem>
</file>

<file path=customXml/itemProps8.xml><?xml version="1.0" encoding="utf-8"?>
<ds:datastoreItem xmlns:ds="http://schemas.openxmlformats.org/officeDocument/2006/customXml" ds:itemID="{1D1E7D37-9613-45D5-8EDC-43C010898ABB}">
  <ds:schemaRefs/>
</ds:datastoreItem>
</file>

<file path=customXml/itemProps9.xml><?xml version="1.0" encoding="utf-8"?>
<ds:datastoreItem xmlns:ds="http://schemas.openxmlformats.org/officeDocument/2006/customXml" ds:itemID="{41403322-61D8-4C07-B361-867FAC43DDDC}">
  <ds:schemaRefs/>
</ds:datastoreItem>
</file>

<file path=customXml/itemProps10.xml><?xml version="1.0" encoding="utf-8"?>
<ds:datastoreItem xmlns:ds="http://schemas.openxmlformats.org/officeDocument/2006/customXml" ds:itemID="{C6A78C9D-8065-435B-B685-2A7DBBDDC026}">
  <ds:schemaRefs/>
</ds:datastoreItem>
</file>

<file path=customXml/itemProps11.xml><?xml version="1.0" encoding="utf-8"?>
<ds:datastoreItem xmlns:ds="http://schemas.openxmlformats.org/officeDocument/2006/customXml" ds:itemID="{8BD1F459-29F0-476B-BAC0-1F70E583D314}">
  <ds:schemaRefs/>
</ds:datastoreItem>
</file>

<file path=customXml/itemProps12.xml><?xml version="1.0" encoding="utf-8"?>
<ds:datastoreItem xmlns:ds="http://schemas.openxmlformats.org/officeDocument/2006/customXml" ds:itemID="{88A8C053-5BCC-4302-A3EC-6CF3242E0B82}">
  <ds:schemaRefs/>
</ds:datastoreItem>
</file>

<file path=customXml/itemProps13.xml><?xml version="1.0" encoding="utf-8"?>
<ds:datastoreItem xmlns:ds="http://schemas.openxmlformats.org/officeDocument/2006/customXml" ds:itemID="{44B6BCB6-5B75-4825-B0CC-FEB1817C362D}">
  <ds:schemaRefs/>
</ds:datastoreItem>
</file>

<file path=customXml/itemProps14.xml><?xml version="1.0" encoding="utf-8"?>
<ds:datastoreItem xmlns:ds="http://schemas.openxmlformats.org/officeDocument/2006/customXml" ds:itemID="{DB0DD2B5-3D61-45C4-B5FB-71993146C7E7}">
  <ds:schemaRefs/>
</ds:datastoreItem>
</file>

<file path=customXml/itemProps15.xml><?xml version="1.0" encoding="utf-8"?>
<ds:datastoreItem xmlns:ds="http://schemas.openxmlformats.org/officeDocument/2006/customXml" ds:itemID="{4A8E958C-7F93-4889-B450-DBCB563BE705}">
  <ds:schemaRefs/>
</ds:datastoreItem>
</file>

<file path=customXml/itemProps16.xml><?xml version="1.0" encoding="utf-8"?>
<ds:datastoreItem xmlns:ds="http://schemas.openxmlformats.org/officeDocument/2006/customXml" ds:itemID="{976831BA-0CE6-4B82-881B-24FD45E1155C}">
  <ds:schemaRefs/>
</ds:datastoreItem>
</file>

<file path=customXml/itemProps17.xml><?xml version="1.0" encoding="utf-8"?>
<ds:datastoreItem xmlns:ds="http://schemas.openxmlformats.org/officeDocument/2006/customXml" ds:itemID="{6C89755F-25D5-451A-81C1-6DD8AF28BA36}">
  <ds:schemaRefs/>
</ds:datastoreItem>
</file>

<file path=customXml/itemProps18.xml><?xml version="1.0" encoding="utf-8"?>
<ds:datastoreItem xmlns:ds="http://schemas.openxmlformats.org/officeDocument/2006/customXml" ds:itemID="{7E703DC2-5F46-422C-A583-DB730DA69245}">
  <ds:schemaRefs/>
</ds:datastoreItem>
</file>

<file path=customXml/itemProps19.xml><?xml version="1.0" encoding="utf-8"?>
<ds:datastoreItem xmlns:ds="http://schemas.openxmlformats.org/officeDocument/2006/customXml" ds:itemID="{D241DFED-96C7-410B-9EC8-D8F63F7CE5B4}">
  <ds:schemaRefs/>
</ds:datastoreItem>
</file>

<file path=customXml/itemProps20.xml><?xml version="1.0" encoding="utf-8"?>
<ds:datastoreItem xmlns:ds="http://schemas.openxmlformats.org/officeDocument/2006/customXml" ds:itemID="{AE46B711-507D-4FA2-AD64-BEFBA75BECF5}">
  <ds:schemaRefs/>
</ds:datastoreItem>
</file>

<file path=customXml/itemProps21.xml><?xml version="1.0" encoding="utf-8"?>
<ds:datastoreItem xmlns:ds="http://schemas.openxmlformats.org/officeDocument/2006/customXml" ds:itemID="{7E0C7BAF-40DC-4B74-98A7-8D734812F189}">
  <ds:schemaRefs/>
</ds:datastoreItem>
</file>

<file path=customXml/itemProps22.xml><?xml version="1.0" encoding="utf-8"?>
<ds:datastoreItem xmlns:ds="http://schemas.openxmlformats.org/officeDocument/2006/customXml" ds:itemID="{E137AB40-1728-4643-B64A-5DFE56A4798E}">
  <ds:schemaRefs/>
</ds:datastoreItem>
</file>

<file path=customXml/itemProps23.xml><?xml version="1.0" encoding="utf-8"?>
<ds:datastoreItem xmlns:ds="http://schemas.openxmlformats.org/officeDocument/2006/customXml" ds:itemID="{A6D55ACD-20FE-42D4-A241-E646A1FF59CD}">
  <ds:schemaRefs/>
</ds:datastoreItem>
</file>

<file path=customXml/itemProps24.xml><?xml version="1.0" encoding="utf-8"?>
<ds:datastoreItem xmlns:ds="http://schemas.openxmlformats.org/officeDocument/2006/customXml" ds:itemID="{B21C3F93-5E73-42A5-930D-80E9914997CC}">
  <ds:schemaRefs/>
</ds:datastoreItem>
</file>

<file path=customXml/itemProps25.xml><?xml version="1.0" encoding="utf-8"?>
<ds:datastoreItem xmlns:ds="http://schemas.openxmlformats.org/officeDocument/2006/customXml" ds:itemID="{14F30766-877F-4CEE-8B61-99D4DA6E0404}">
  <ds:schemaRefs/>
</ds:datastoreItem>
</file>

<file path=customXml/itemProps26.xml><?xml version="1.0" encoding="utf-8"?>
<ds:datastoreItem xmlns:ds="http://schemas.openxmlformats.org/officeDocument/2006/customXml" ds:itemID="{B978344E-877F-46A7-8D81-C1940F952A20}">
  <ds:schemaRefs/>
</ds:datastoreItem>
</file>

<file path=customXml/itemProps27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Menu</vt:lpstr>
      <vt:lpstr>Produtos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Matheus Rodrigues</cp:lastModifiedBy>
  <cp:lastPrinted>2023-06-07T14:57:58Z</cp:lastPrinted>
  <dcterms:created xsi:type="dcterms:W3CDTF">2023-06-02T17:54:12Z</dcterms:created>
  <dcterms:modified xsi:type="dcterms:W3CDTF">2025-08-01T14:42:54Z</dcterms:modified>
</cp:coreProperties>
</file>